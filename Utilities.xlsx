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03E01550-2899-4021-B809-248F0ADEB487}" xr6:coauthVersionLast="47" xr6:coauthVersionMax="47" xr10:uidLastSave="{00000000-0000-0000-0000-000000000000}"/>
  <bookViews>
    <workbookView xWindow="28680" yWindow="-9525" windowWidth="38640" windowHeight="21120" xr2:uid="{64C299F9-12B1-487B-BF9A-96CF700060FD}"/>
  </bookViews>
  <sheets>
    <sheet name="U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L39" i="1"/>
  <c r="M39" i="1"/>
  <c r="N39" i="1"/>
  <c r="O39" i="1"/>
  <c r="Q39" i="1"/>
  <c r="R39" i="1"/>
  <c r="E39" i="1"/>
  <c r="D39" i="1"/>
  <c r="X37" i="1"/>
  <c r="X38" i="1"/>
  <c r="H3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S37" i="1" s="1"/>
  <c r="T37" i="1" s="1"/>
  <c r="P38" i="1"/>
  <c r="S38" i="1" s="1"/>
  <c r="T38" i="1" s="1"/>
  <c r="W38" i="1"/>
  <c r="Z3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J37" i="1" s="1"/>
  <c r="I38" i="1"/>
  <c r="J38" i="1" s="1"/>
  <c r="I2" i="1"/>
  <c r="G39" i="1"/>
  <c r="F39" i="1"/>
  <c r="C39" i="1"/>
  <c r="W37" i="1"/>
  <c r="Z37" i="1"/>
  <c r="K39" i="1"/>
  <c r="P39" i="1" l="1"/>
  <c r="U39" i="1"/>
  <c r="Y38" i="1"/>
  <c r="I39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Z18" i="1"/>
  <c r="S2" i="1" l="1"/>
  <c r="Z7" i="1"/>
  <c r="Z8" i="1"/>
  <c r="Z9" i="1"/>
  <c r="Z10" i="1"/>
  <c r="Z11" i="1"/>
  <c r="Z12" i="1"/>
  <c r="Z13" i="1"/>
  <c r="Z14" i="1"/>
  <c r="Z15" i="1"/>
  <c r="Z16" i="1"/>
  <c r="Z17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6" i="1"/>
  <c r="J36" i="1"/>
  <c r="Y37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X33" i="1"/>
  <c r="X34" i="1"/>
  <c r="X35" i="1"/>
  <c r="X36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Y27" i="1" s="1"/>
  <c r="W28" i="1"/>
  <c r="W29" i="1"/>
  <c r="W30" i="1"/>
  <c r="W31" i="1"/>
  <c r="W32" i="1"/>
  <c r="W33" i="1"/>
  <c r="W34" i="1"/>
  <c r="W35" i="1"/>
  <c r="W36" i="1"/>
  <c r="W6" i="1"/>
  <c r="Y6" i="1" s="1"/>
  <c r="W7" i="1"/>
  <c r="Y7" i="1" s="1"/>
  <c r="W8" i="1"/>
  <c r="Y8" i="1" s="1"/>
  <c r="W9" i="1"/>
  <c r="Y9" i="1" s="1"/>
  <c r="W10" i="1"/>
  <c r="J2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6" i="1"/>
  <c r="T2" i="1" l="1"/>
  <c r="T39" i="1" s="1"/>
  <c r="S39" i="1"/>
  <c r="Y28" i="1"/>
  <c r="Y15" i="1"/>
  <c r="Y20" i="1"/>
  <c r="Y30" i="1"/>
  <c r="Y26" i="1"/>
  <c r="Y33" i="1"/>
  <c r="Y21" i="1"/>
  <c r="Y18" i="1"/>
  <c r="Y19" i="1"/>
  <c r="Y25" i="1"/>
  <c r="Y13" i="1"/>
  <c r="Y17" i="1"/>
  <c r="Y29" i="1"/>
  <c r="Y35" i="1"/>
  <c r="Y16" i="1"/>
  <c r="Y34" i="1"/>
  <c r="Y22" i="1"/>
  <c r="Y10" i="1"/>
  <c r="Y23" i="1"/>
  <c r="Y14" i="1"/>
  <c r="Y32" i="1"/>
  <c r="Y31" i="1"/>
  <c r="Y24" i="1"/>
  <c r="Y36" i="1"/>
  <c r="Y12" i="1"/>
  <c r="J39" i="1"/>
  <c r="Y11" i="1"/>
  <c r="Y39" i="1" l="1"/>
</calcChain>
</file>

<file path=xl/sharedStrings.xml><?xml version="1.0" encoding="utf-8"?>
<sst xmlns="http://schemas.openxmlformats.org/spreadsheetml/2006/main" count="73" uniqueCount="47">
  <si>
    <t>Month</t>
  </si>
  <si>
    <t>Feedback Costs</t>
  </si>
  <si>
    <t>Fixed Costs</t>
  </si>
  <si>
    <t>Net Use</t>
  </si>
  <si>
    <t>Gas Use</t>
  </si>
  <si>
    <t>Gas Cost</t>
  </si>
  <si>
    <t>Elec Use</t>
  </si>
  <si>
    <t>Export Income</t>
  </si>
  <si>
    <t>Overall Cost</t>
  </si>
  <si>
    <t>Net Elec Cost</t>
  </si>
  <si>
    <t>EV Charger</t>
  </si>
  <si>
    <t>Net House Elec Cost</t>
  </si>
  <si>
    <t>Remarks</t>
  </si>
  <si>
    <t>Italy vacation 2 weeks</t>
  </si>
  <si>
    <t>Austria vacation 1 week</t>
  </si>
  <si>
    <t>Austria vacation 1 week, HP installed</t>
  </si>
  <si>
    <t>Australia/Bali vacation 4 weeks</t>
  </si>
  <si>
    <t>Australia/Bali vacation 2 weeks</t>
  </si>
  <si>
    <t>France vacation 1 week</t>
  </si>
  <si>
    <t>France vacation 2 weeks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</si>
  <si>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</si>
  <si>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</si>
  <si>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</si>
  <si>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</si>
  <si>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</si>
  <si>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</si>
  <si>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</si>
  <si>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</si>
  <si>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</si>
  <si>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</si>
  <si>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</si>
  <si>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</si>
  <si>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</si>
  <si>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House Cost (Gas &amp; Elec)</t>
  </si>
  <si>
    <t>Total</t>
  </si>
  <si>
    <t>EV Tariff</t>
  </si>
  <si>
    <t>Profit</t>
  </si>
  <si>
    <t>Begin Variable Tariffs</t>
  </si>
  <si>
    <t>Elec Import</t>
  </si>
  <si>
    <t>Elec Import Cost</t>
  </si>
  <si>
    <t>Elec Export</t>
  </si>
  <si>
    <t>Solar Production</t>
  </si>
  <si>
    <t>Net Use (-EV)</t>
  </si>
  <si>
    <t>Heating Degree Days</t>
  </si>
  <si>
    <t>Australia vacation 1 week</t>
  </si>
  <si>
    <t>Elec Tariff</t>
  </si>
  <si>
    <t>Gas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</si>
</sst>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2]\ * #,##0.00_ ;_ [$€-2]\ * \-#,##0.00_ ;_ [$€-2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0" fillId="0" borderId="0" xfId="0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5" fillId="0" borderId="0" xfId="0" applyNumberFormat="1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C3C0-4F0C-4145-B5AD-9C72A17BA293}">
  <dimension ref="A1:Z44"/>
  <sheetViews>
    <sheetView tabSelected="1" workbookViewId="0">
      <pane ySplit="1" topLeftCell="A2" activePane="bottomLeft" state="frozen"/>
      <selection pane="bottomLeft" activeCell="E46" sqref="E46"/>
    </sheetView>
  </sheetViews>
  <sheetFormatPr defaultColWidth="13" defaultRowHeight="15" x14ac:dyDescent="0.25"/>
  <cols>
    <col min="1" max="4" width="13" style="1"/>
    <col min="5" max="5" width="15.85546875" style="1" bestFit="1" customWidth="1"/>
    <col min="6" max="9" width="13" style="1"/>
    <col min="10" max="10" width="18" style="1" bestFit="1" customWidth="1"/>
    <col min="11" max="11" width="18" style="1" customWidth="1"/>
    <col min="12" max="12" width="13" style="1"/>
    <col min="13" max="13" width="15.28515625" style="1" bestFit="1" customWidth="1"/>
    <col min="14" max="14" width="13.5703125" style="1" bestFit="1" customWidth="1"/>
    <col min="15" max="15" width="14.85546875" style="1" bestFit="1" customWidth="1"/>
    <col min="16" max="17" width="13" style="1"/>
    <col min="18" max="18" width="14" bestFit="1" customWidth="1"/>
    <col min="19" max="19" width="18.5703125" bestFit="1" customWidth="1"/>
    <col min="20" max="20" width="25.85546875" bestFit="1" customWidth="1"/>
    <col min="22" max="22" width="33.140625" customWidth="1"/>
  </cols>
  <sheetData>
    <row r="1" spans="1:26" x14ac:dyDescent="0.25">
      <c r="A1" s="1" t="s">
        <v>20</v>
      </c>
      <c r="B1" s="1" t="s">
        <v>0</v>
      </c>
      <c r="C1" s="17" t="s">
        <v>4</v>
      </c>
      <c r="D1" s="16" t="s">
        <v>6</v>
      </c>
      <c r="E1" s="16" t="s">
        <v>41</v>
      </c>
      <c r="F1" s="17" t="s">
        <v>38</v>
      </c>
      <c r="G1" s="17" t="s">
        <v>40</v>
      </c>
      <c r="H1" s="18" t="s">
        <v>10</v>
      </c>
      <c r="I1" s="1" t="s">
        <v>3</v>
      </c>
      <c r="J1" s="1" t="s">
        <v>42</v>
      </c>
      <c r="K1" s="1" t="s">
        <v>43</v>
      </c>
      <c r="L1" s="1" t="s">
        <v>5</v>
      </c>
      <c r="M1" s="1" t="s">
        <v>39</v>
      </c>
      <c r="N1" s="1" t="s">
        <v>7</v>
      </c>
      <c r="O1" s="1" t="s">
        <v>1</v>
      </c>
      <c r="P1" s="1" t="s">
        <v>9</v>
      </c>
      <c r="Q1" s="1" t="s">
        <v>2</v>
      </c>
      <c r="R1" s="1" t="s">
        <v>10</v>
      </c>
      <c r="S1" s="1" t="s">
        <v>11</v>
      </c>
      <c r="T1" s="1" t="s">
        <v>33</v>
      </c>
      <c r="U1" s="1" t="s">
        <v>8</v>
      </c>
      <c r="V1" s="11" t="s">
        <v>12</v>
      </c>
    </row>
    <row r="2" spans="1:26" x14ac:dyDescent="0.25">
      <c r="A2" s="1">
        <v>2023</v>
      </c>
      <c r="B2" s="3" t="s">
        <v>21</v>
      </c>
      <c r="C2" s="4">
        <v>0</v>
      </c>
      <c r="D2" s="2">
        <v>0</v>
      </c>
      <c r="E2" s="2">
        <v>0</v>
      </c>
      <c r="F2" s="2">
        <v>0</v>
      </c>
      <c r="G2" s="1">
        <v>0</v>
      </c>
      <c r="H2" s="4">
        <v>0</v>
      </c>
      <c r="I2" s="4">
        <f>F2+G2</f>
        <v>0</v>
      </c>
      <c r="J2" s="4">
        <f>I2-H2</f>
        <v>0</v>
      </c>
      <c r="K2" s="4">
        <v>384.65</v>
      </c>
      <c r="L2" s="7">
        <v>0</v>
      </c>
      <c r="M2" s="7">
        <v>0</v>
      </c>
      <c r="N2" s="7">
        <v>0</v>
      </c>
      <c r="O2" s="7">
        <v>0</v>
      </c>
      <c r="P2" s="5">
        <f t="shared" ref="P2:P37" si="0">M2+N2+O2</f>
        <v>0</v>
      </c>
      <c r="Q2" s="7">
        <v>0</v>
      </c>
      <c r="R2" s="7">
        <v>0</v>
      </c>
      <c r="S2" s="6">
        <f t="shared" ref="S2:S38" si="1">P2+R2</f>
        <v>0</v>
      </c>
      <c r="T2" s="15">
        <f t="shared" ref="T2:T37" si="2">S2+L2+Q2</f>
        <v>0</v>
      </c>
      <c r="U2" s="6">
        <f t="shared" ref="U2:U37" si="3">L2+M2+N2+O2+Q2</f>
        <v>0</v>
      </c>
      <c r="V2" s="11"/>
    </row>
    <row r="3" spans="1:26" x14ac:dyDescent="0.25">
      <c r="A3" s="1">
        <v>2023</v>
      </c>
      <c r="B3" s="3" t="s">
        <v>22</v>
      </c>
      <c r="C3" s="4">
        <v>0</v>
      </c>
      <c r="D3" s="2">
        <v>0</v>
      </c>
      <c r="E3" s="2">
        <v>0</v>
      </c>
      <c r="F3" s="2">
        <v>0</v>
      </c>
      <c r="G3" s="1">
        <v>0</v>
      </c>
      <c r="H3" s="4">
        <v>0</v>
      </c>
      <c r="I3" s="4">
        <f t="shared" ref="I3:I38" si="4">F3+G3</f>
        <v>0</v>
      </c>
      <c r="J3" s="4">
        <f>I3-H3</f>
        <v>0</v>
      </c>
      <c r="K3" s="4">
        <v>339.83</v>
      </c>
      <c r="L3" s="7">
        <v>0</v>
      </c>
      <c r="M3" s="7">
        <v>0</v>
      </c>
      <c r="N3" s="7">
        <v>0</v>
      </c>
      <c r="O3" s="7">
        <v>0</v>
      </c>
      <c r="P3" s="5">
        <f t="shared" si="0"/>
        <v>0</v>
      </c>
      <c r="Q3" s="7">
        <v>0</v>
      </c>
      <c r="R3" s="7">
        <v>0</v>
      </c>
      <c r="S3" s="6">
        <f t="shared" si="1"/>
        <v>0</v>
      </c>
      <c r="T3" s="15">
        <f t="shared" si="2"/>
        <v>0</v>
      </c>
      <c r="U3" s="6">
        <f t="shared" si="3"/>
        <v>0</v>
      </c>
      <c r="V3" s="11"/>
    </row>
    <row r="4" spans="1:26" x14ac:dyDescent="0.25">
      <c r="A4" s="1">
        <v>2023</v>
      </c>
      <c r="B4" s="3" t="s">
        <v>23</v>
      </c>
      <c r="C4" s="4">
        <v>0</v>
      </c>
      <c r="D4" s="2">
        <v>0</v>
      </c>
      <c r="E4" s="2">
        <v>0</v>
      </c>
      <c r="F4" s="2">
        <v>0</v>
      </c>
      <c r="G4" s="1">
        <v>0</v>
      </c>
      <c r="H4" s="4">
        <v>0</v>
      </c>
      <c r="I4" s="4">
        <f t="shared" si="4"/>
        <v>0</v>
      </c>
      <c r="J4" s="4">
        <f>I4-H4</f>
        <v>0</v>
      </c>
      <c r="K4" s="4">
        <v>338.62</v>
      </c>
      <c r="L4" s="7">
        <v>0</v>
      </c>
      <c r="M4" s="7">
        <v>0</v>
      </c>
      <c r="N4" s="7">
        <v>0</v>
      </c>
      <c r="O4" s="7">
        <v>0</v>
      </c>
      <c r="P4" s="5">
        <f t="shared" si="0"/>
        <v>0</v>
      </c>
      <c r="Q4" s="7">
        <v>0</v>
      </c>
      <c r="R4" s="7">
        <v>0</v>
      </c>
      <c r="S4" s="6">
        <f t="shared" si="1"/>
        <v>0</v>
      </c>
      <c r="T4" s="15">
        <f t="shared" si="2"/>
        <v>0</v>
      </c>
      <c r="U4" s="6">
        <f t="shared" si="3"/>
        <v>0</v>
      </c>
      <c r="V4" s="11"/>
    </row>
    <row r="5" spans="1:26" x14ac:dyDescent="0.25">
      <c r="A5" s="1">
        <v>2023</v>
      </c>
      <c r="B5" s="3" t="s">
        <v>24</v>
      </c>
      <c r="C5" s="4">
        <v>0</v>
      </c>
      <c r="D5" s="2">
        <v>0</v>
      </c>
      <c r="E5" s="2">
        <v>0</v>
      </c>
      <c r="F5" s="2">
        <v>0</v>
      </c>
      <c r="G5" s="1">
        <v>0</v>
      </c>
      <c r="H5" s="4">
        <v>0</v>
      </c>
      <c r="I5" s="4">
        <f t="shared" si="4"/>
        <v>0</v>
      </c>
      <c r="J5" s="4">
        <f>I5-H5</f>
        <v>0</v>
      </c>
      <c r="K5" s="4">
        <v>277.48</v>
      </c>
      <c r="L5" s="7">
        <v>0</v>
      </c>
      <c r="M5" s="7">
        <v>0</v>
      </c>
      <c r="N5" s="7">
        <v>0</v>
      </c>
      <c r="O5" s="7">
        <v>0</v>
      </c>
      <c r="P5" s="5">
        <f t="shared" si="0"/>
        <v>0</v>
      </c>
      <c r="Q5" s="7">
        <v>0</v>
      </c>
      <c r="R5" s="7">
        <v>0</v>
      </c>
      <c r="S5" s="6">
        <f t="shared" si="1"/>
        <v>0</v>
      </c>
      <c r="T5" s="15">
        <f t="shared" si="2"/>
        <v>0</v>
      </c>
      <c r="U5" s="6">
        <f t="shared" si="3"/>
        <v>0</v>
      </c>
      <c r="V5" s="11"/>
      <c r="W5" t="s">
        <v>45</v>
      </c>
      <c r="X5" t="s">
        <v>35</v>
      </c>
      <c r="Y5" t="s">
        <v>36</v>
      </c>
      <c r="Z5" t="s">
        <v>46</v>
      </c>
    </row>
    <row r="6" spans="1:26" x14ac:dyDescent="0.25">
      <c r="A6" s="1">
        <v>2023</v>
      </c>
      <c r="B6" s="3" t="s">
        <v>25</v>
      </c>
      <c r="C6" s="4">
        <v>7</v>
      </c>
      <c r="D6" s="2">
        <v>10</v>
      </c>
      <c r="E6" s="2">
        <v>26</v>
      </c>
      <c r="F6" s="2">
        <v>55</v>
      </c>
      <c r="G6" s="1">
        <v>-73</v>
      </c>
      <c r="H6" s="4">
        <v>0</v>
      </c>
      <c r="I6" s="4">
        <f t="shared" si="4"/>
        <v>-18</v>
      </c>
      <c r="J6" s="4">
        <f>H6+I6</f>
        <v>-18</v>
      </c>
      <c r="K6" s="4">
        <v>132.66999999999999</v>
      </c>
      <c r="L6" s="7">
        <v>9.57</v>
      </c>
      <c r="M6" s="7">
        <v>21.46</v>
      </c>
      <c r="N6" s="7">
        <v>-28.58</v>
      </c>
      <c r="O6" s="7">
        <v>0</v>
      </c>
      <c r="P6" s="5">
        <f t="shared" si="0"/>
        <v>-7.1199999999999974</v>
      </c>
      <c r="Q6" s="7">
        <v>4.79</v>
      </c>
      <c r="R6" s="7">
        <v>0</v>
      </c>
      <c r="S6" s="6">
        <f t="shared" si="1"/>
        <v>-7.1199999999999974</v>
      </c>
      <c r="T6" s="15">
        <f t="shared" si="2"/>
        <v>7.2400000000000029</v>
      </c>
      <c r="U6" s="6">
        <f t="shared" si="3"/>
        <v>7.2400000000000029</v>
      </c>
      <c r="V6" s="11"/>
      <c r="W6" s="6">
        <f t="shared" ref="W6:W38" si="5">M6/F6</f>
        <v>0.39018181818181819</v>
      </c>
      <c r="X6" s="6">
        <v>0</v>
      </c>
      <c r="Y6" s="6">
        <f t="shared" ref="Y6:Y38" si="6">H6*(X6-W6)</f>
        <v>0</v>
      </c>
      <c r="Z6" s="6">
        <f t="shared" ref="Z6:Z38" si="7">L6/C6</f>
        <v>1.3671428571428572</v>
      </c>
    </row>
    <row r="7" spans="1:26" x14ac:dyDescent="0.25">
      <c r="A7" s="1">
        <v>2023</v>
      </c>
      <c r="B7" s="3" t="s">
        <v>26</v>
      </c>
      <c r="C7" s="4">
        <v>26</v>
      </c>
      <c r="D7" s="2">
        <v>186</v>
      </c>
      <c r="E7" s="2">
        <v>192</v>
      </c>
      <c r="F7" s="1">
        <v>132</v>
      </c>
      <c r="G7" s="1">
        <v>-136</v>
      </c>
      <c r="H7" s="4">
        <v>0</v>
      </c>
      <c r="I7" s="4">
        <f t="shared" si="4"/>
        <v>-4</v>
      </c>
      <c r="J7" s="4">
        <f t="shared" ref="J7:J38" si="8">H7+I7</f>
        <v>-4</v>
      </c>
      <c r="K7" s="4">
        <v>16.93</v>
      </c>
      <c r="L7" s="7">
        <v>35.53</v>
      </c>
      <c r="M7" s="7">
        <v>51.38</v>
      </c>
      <c r="N7" s="7">
        <v>-53.64</v>
      </c>
      <c r="O7" s="7">
        <v>0</v>
      </c>
      <c r="P7" s="5">
        <f t="shared" si="0"/>
        <v>-2.259999999999998</v>
      </c>
      <c r="Q7" s="7">
        <v>9.59</v>
      </c>
      <c r="R7" s="7">
        <v>0</v>
      </c>
      <c r="S7" s="6">
        <f t="shared" si="1"/>
        <v>-2.259999999999998</v>
      </c>
      <c r="T7" s="15">
        <f t="shared" si="2"/>
        <v>42.86</v>
      </c>
      <c r="U7" s="6">
        <f t="shared" si="3"/>
        <v>42.86</v>
      </c>
      <c r="V7" s="11"/>
      <c r="W7" s="6">
        <f t="shared" si="5"/>
        <v>0.38924242424242428</v>
      </c>
      <c r="X7" s="6">
        <v>0</v>
      </c>
      <c r="Y7" s="6">
        <f t="shared" si="6"/>
        <v>0</v>
      </c>
      <c r="Z7" s="6">
        <f t="shared" si="7"/>
        <v>1.3665384615384615</v>
      </c>
    </row>
    <row r="8" spans="1:26" x14ac:dyDescent="0.25">
      <c r="A8" s="1">
        <v>2023</v>
      </c>
      <c r="B8" s="3" t="s">
        <v>27</v>
      </c>
      <c r="C8" s="4">
        <v>36</v>
      </c>
      <c r="D8" s="1">
        <v>241</v>
      </c>
      <c r="E8" s="1">
        <v>162</v>
      </c>
      <c r="F8" s="1">
        <v>172</v>
      </c>
      <c r="G8" s="1">
        <v>-97</v>
      </c>
      <c r="H8" s="4">
        <v>0</v>
      </c>
      <c r="I8" s="4">
        <f t="shared" si="4"/>
        <v>75</v>
      </c>
      <c r="J8" s="4">
        <f t="shared" si="8"/>
        <v>75</v>
      </c>
      <c r="K8" s="4">
        <v>5.49</v>
      </c>
      <c r="L8" s="7">
        <v>49.19</v>
      </c>
      <c r="M8" s="7">
        <v>66.87</v>
      </c>
      <c r="N8" s="7">
        <v>-38.270000000000003</v>
      </c>
      <c r="O8" s="7">
        <v>0</v>
      </c>
      <c r="P8" s="5">
        <f t="shared" si="0"/>
        <v>28.6</v>
      </c>
      <c r="Q8" s="7">
        <v>9.91</v>
      </c>
      <c r="R8" s="7">
        <v>0</v>
      </c>
      <c r="S8" s="6">
        <f t="shared" si="1"/>
        <v>28.6</v>
      </c>
      <c r="T8" s="15">
        <f t="shared" si="2"/>
        <v>87.699999999999989</v>
      </c>
      <c r="U8" s="6">
        <f t="shared" si="3"/>
        <v>87.699999999999989</v>
      </c>
      <c r="V8" s="11"/>
      <c r="W8" s="6">
        <f t="shared" si="5"/>
        <v>0.38877906976744186</v>
      </c>
      <c r="X8" s="6">
        <v>0</v>
      </c>
      <c r="Y8" s="6">
        <f t="shared" si="6"/>
        <v>0</v>
      </c>
      <c r="Z8" s="6">
        <f t="shared" si="7"/>
        <v>1.3663888888888889</v>
      </c>
    </row>
    <row r="9" spans="1:26" x14ac:dyDescent="0.25">
      <c r="A9" s="1">
        <v>2023</v>
      </c>
      <c r="B9" s="3" t="s">
        <v>28</v>
      </c>
      <c r="C9" s="4">
        <v>29</v>
      </c>
      <c r="D9" s="1">
        <v>239</v>
      </c>
      <c r="E9" s="1">
        <v>166</v>
      </c>
      <c r="F9" s="1">
        <v>167</v>
      </c>
      <c r="G9" s="1">
        <v>-93</v>
      </c>
      <c r="H9" s="4">
        <v>0</v>
      </c>
      <c r="I9" s="4">
        <f t="shared" si="4"/>
        <v>74</v>
      </c>
      <c r="J9" s="4">
        <f t="shared" si="8"/>
        <v>74</v>
      </c>
      <c r="K9" s="4">
        <v>8.2799999999999994</v>
      </c>
      <c r="L9" s="7">
        <v>39.630000000000003</v>
      </c>
      <c r="M9" s="7">
        <v>65.08</v>
      </c>
      <c r="N9" s="7">
        <v>-36.82</v>
      </c>
      <c r="O9" s="7">
        <v>0</v>
      </c>
      <c r="P9" s="5">
        <f t="shared" si="0"/>
        <v>28.259999999999998</v>
      </c>
      <c r="Q9" s="7">
        <v>9.91</v>
      </c>
      <c r="R9" s="7">
        <v>0</v>
      </c>
      <c r="S9" s="6">
        <f t="shared" si="1"/>
        <v>28.259999999999998</v>
      </c>
      <c r="T9" s="15">
        <f t="shared" si="2"/>
        <v>77.8</v>
      </c>
      <c r="U9" s="6">
        <f t="shared" si="3"/>
        <v>77.800000000000011</v>
      </c>
      <c r="V9" s="11"/>
      <c r="W9" s="6">
        <f t="shared" si="5"/>
        <v>0.38970059880239521</v>
      </c>
      <c r="X9" s="6">
        <v>0</v>
      </c>
      <c r="Y9" s="6">
        <f t="shared" si="6"/>
        <v>0</v>
      </c>
      <c r="Z9" s="6">
        <f t="shared" si="7"/>
        <v>1.366551724137931</v>
      </c>
    </row>
    <row r="10" spans="1:26" x14ac:dyDescent="0.25">
      <c r="A10" s="1">
        <v>2023</v>
      </c>
      <c r="B10" s="3" t="s">
        <v>29</v>
      </c>
      <c r="C10" s="4">
        <v>18</v>
      </c>
      <c r="D10" s="1">
        <v>209</v>
      </c>
      <c r="E10" s="1">
        <v>150</v>
      </c>
      <c r="F10" s="1">
        <v>156</v>
      </c>
      <c r="G10" s="1">
        <v>-91</v>
      </c>
      <c r="H10" s="4">
        <v>-40.26</v>
      </c>
      <c r="I10" s="4">
        <f t="shared" si="4"/>
        <v>65</v>
      </c>
      <c r="J10" s="4">
        <f t="shared" si="8"/>
        <v>24.740000000000002</v>
      </c>
      <c r="K10" s="4">
        <v>17.600000000000001</v>
      </c>
      <c r="L10" s="7">
        <v>24.6</v>
      </c>
      <c r="M10" s="7">
        <v>61.08</v>
      </c>
      <c r="N10" s="7">
        <v>-35.81</v>
      </c>
      <c r="O10" s="7">
        <v>0</v>
      </c>
      <c r="P10" s="5">
        <f t="shared" si="0"/>
        <v>25.269999999999996</v>
      </c>
      <c r="Q10" s="7">
        <v>9.59</v>
      </c>
      <c r="R10" s="7">
        <v>-10.029999999999999</v>
      </c>
      <c r="S10" s="6">
        <f t="shared" si="1"/>
        <v>15.239999999999997</v>
      </c>
      <c r="T10" s="15">
        <f t="shared" si="2"/>
        <v>49.429999999999993</v>
      </c>
      <c r="U10" s="6">
        <f t="shared" si="3"/>
        <v>59.460000000000008</v>
      </c>
      <c r="V10" s="11" t="s">
        <v>13</v>
      </c>
      <c r="W10" s="6">
        <f t="shared" si="5"/>
        <v>0.3915384615384615</v>
      </c>
      <c r="X10" s="6">
        <f t="shared" ref="X10:X26" si="9">R10/H10</f>
        <v>0.24913065076999502</v>
      </c>
      <c r="Y10" s="6">
        <f t="shared" si="6"/>
        <v>5.7333384615384606</v>
      </c>
      <c r="Z10" s="6">
        <f t="shared" si="7"/>
        <v>1.3666666666666667</v>
      </c>
    </row>
    <row r="11" spans="1:26" x14ac:dyDescent="0.25">
      <c r="A11" s="1">
        <v>2023</v>
      </c>
      <c r="B11" s="3" t="s">
        <v>30</v>
      </c>
      <c r="C11" s="4">
        <v>126</v>
      </c>
      <c r="D11" s="1">
        <v>329</v>
      </c>
      <c r="E11" s="1">
        <v>77</v>
      </c>
      <c r="F11" s="1">
        <v>344</v>
      </c>
      <c r="G11" s="1">
        <v>-39</v>
      </c>
      <c r="H11" s="4">
        <v>-113.49</v>
      </c>
      <c r="I11" s="4">
        <f t="shared" si="4"/>
        <v>305</v>
      </c>
      <c r="J11" s="4">
        <f t="shared" si="8"/>
        <v>191.51</v>
      </c>
      <c r="K11" s="4">
        <v>136.47999999999999</v>
      </c>
      <c r="L11" s="7">
        <v>172.18</v>
      </c>
      <c r="M11" s="7">
        <v>133.36000000000001</v>
      </c>
      <c r="N11" s="7">
        <v>-15.31</v>
      </c>
      <c r="O11" s="7">
        <v>0</v>
      </c>
      <c r="P11" s="5">
        <f t="shared" si="0"/>
        <v>118.05000000000001</v>
      </c>
      <c r="Q11" s="7">
        <v>9.91</v>
      </c>
      <c r="R11" s="7">
        <v>-39.26</v>
      </c>
      <c r="S11" s="6">
        <f t="shared" si="1"/>
        <v>78.79000000000002</v>
      </c>
      <c r="T11" s="15">
        <f t="shared" si="2"/>
        <v>260.88000000000005</v>
      </c>
      <c r="U11" s="6">
        <f t="shared" si="3"/>
        <v>300.14000000000004</v>
      </c>
      <c r="V11" s="11"/>
      <c r="W11" s="6">
        <f t="shared" si="5"/>
        <v>0.38767441860465118</v>
      </c>
      <c r="X11" s="6">
        <f t="shared" si="9"/>
        <v>0.34593356242840778</v>
      </c>
      <c r="Y11" s="6">
        <f t="shared" si="6"/>
        <v>4.7371697674418636</v>
      </c>
      <c r="Z11" s="6">
        <f t="shared" si="7"/>
        <v>1.3665079365079367</v>
      </c>
    </row>
    <row r="12" spans="1:26" x14ac:dyDescent="0.25">
      <c r="A12" s="1">
        <v>2023</v>
      </c>
      <c r="B12" s="3" t="s">
        <v>31</v>
      </c>
      <c r="C12" s="4">
        <v>256</v>
      </c>
      <c r="D12" s="1">
        <v>431</v>
      </c>
      <c r="E12" s="1">
        <v>46</v>
      </c>
      <c r="F12" s="1">
        <v>404</v>
      </c>
      <c r="G12" s="1">
        <v>-20</v>
      </c>
      <c r="H12" s="4">
        <v>-145.99</v>
      </c>
      <c r="I12" s="4">
        <f t="shared" si="4"/>
        <v>384</v>
      </c>
      <c r="J12" s="4">
        <f t="shared" si="8"/>
        <v>238.01</v>
      </c>
      <c r="K12" s="4">
        <v>304.05</v>
      </c>
      <c r="L12" s="7">
        <v>349.82</v>
      </c>
      <c r="M12" s="7">
        <v>156.94</v>
      </c>
      <c r="N12" s="7">
        <v>-7.92</v>
      </c>
      <c r="O12" s="7">
        <v>0</v>
      </c>
      <c r="P12" s="5">
        <f t="shared" si="0"/>
        <v>149.02000000000001</v>
      </c>
      <c r="Q12" s="7">
        <v>9.59</v>
      </c>
      <c r="R12" s="7">
        <v>-52.24</v>
      </c>
      <c r="S12" s="6">
        <f t="shared" si="1"/>
        <v>96.78</v>
      </c>
      <c r="T12" s="15">
        <f t="shared" si="2"/>
        <v>456.19</v>
      </c>
      <c r="U12" s="6">
        <f t="shared" si="3"/>
        <v>508.42999999999995</v>
      </c>
      <c r="V12" s="11"/>
      <c r="W12" s="6">
        <f t="shared" si="5"/>
        <v>0.38846534653465348</v>
      </c>
      <c r="X12" s="6">
        <f t="shared" si="9"/>
        <v>0.35783272826905954</v>
      </c>
      <c r="Y12" s="6">
        <f t="shared" si="6"/>
        <v>4.4720559405940588</v>
      </c>
      <c r="Z12" s="6">
        <f t="shared" si="7"/>
        <v>1.366484375</v>
      </c>
    </row>
    <row r="13" spans="1:26" x14ac:dyDescent="0.25">
      <c r="A13" s="1">
        <v>2023</v>
      </c>
      <c r="B13" s="3" t="s">
        <v>32</v>
      </c>
      <c r="C13" s="4">
        <v>318</v>
      </c>
      <c r="D13" s="1">
        <v>598</v>
      </c>
      <c r="E13" s="1">
        <v>22</v>
      </c>
      <c r="F13" s="1">
        <v>590</v>
      </c>
      <c r="G13" s="1">
        <v>-5</v>
      </c>
      <c r="H13" s="4">
        <v>-273.35000000000002</v>
      </c>
      <c r="I13" s="4">
        <f t="shared" si="4"/>
        <v>585</v>
      </c>
      <c r="J13" s="4">
        <f t="shared" si="8"/>
        <v>311.64999999999998</v>
      </c>
      <c r="K13" s="4">
        <v>356.78</v>
      </c>
      <c r="L13" s="7">
        <v>434.55</v>
      </c>
      <c r="M13" s="7">
        <v>228.4</v>
      </c>
      <c r="N13" s="7">
        <v>-1.96</v>
      </c>
      <c r="O13" s="7">
        <v>0</v>
      </c>
      <c r="P13" s="5">
        <f t="shared" si="0"/>
        <v>226.44</v>
      </c>
      <c r="Q13" s="7">
        <v>9.91</v>
      </c>
      <c r="R13" s="7">
        <v>-103.12</v>
      </c>
      <c r="S13" s="6">
        <f t="shared" si="1"/>
        <v>123.32</v>
      </c>
      <c r="T13" s="15">
        <f t="shared" si="2"/>
        <v>567.78</v>
      </c>
      <c r="U13" s="6">
        <f t="shared" si="3"/>
        <v>670.9</v>
      </c>
      <c r="V13" s="11"/>
      <c r="W13" s="6">
        <f t="shared" si="5"/>
        <v>0.38711864406779661</v>
      </c>
      <c r="X13" s="6">
        <f t="shared" si="9"/>
        <v>0.37724528992134626</v>
      </c>
      <c r="Y13" s="6">
        <f t="shared" si="6"/>
        <v>2.6988813559322042</v>
      </c>
      <c r="Z13" s="6">
        <f t="shared" si="7"/>
        <v>1.3665094339622641</v>
      </c>
    </row>
    <row r="14" spans="1:26" x14ac:dyDescent="0.25">
      <c r="A14" s="1">
        <v>2024</v>
      </c>
      <c r="B14" s="3" t="s">
        <v>21</v>
      </c>
      <c r="C14" s="4">
        <v>395</v>
      </c>
      <c r="D14" s="1">
        <v>516</v>
      </c>
      <c r="E14" s="1">
        <v>63</v>
      </c>
      <c r="F14" s="1">
        <v>485</v>
      </c>
      <c r="G14" s="1">
        <v>-31</v>
      </c>
      <c r="H14" s="4">
        <v>-218.43</v>
      </c>
      <c r="I14" s="4">
        <f t="shared" si="4"/>
        <v>454</v>
      </c>
      <c r="J14" s="4">
        <f t="shared" si="8"/>
        <v>235.57</v>
      </c>
      <c r="K14" s="4">
        <v>441.22</v>
      </c>
      <c r="L14" s="7">
        <v>584.32000000000005</v>
      </c>
      <c r="M14" s="7">
        <v>178.52</v>
      </c>
      <c r="N14" s="7">
        <v>-11.6</v>
      </c>
      <c r="O14" s="7">
        <v>0</v>
      </c>
      <c r="P14" s="5">
        <f t="shared" si="0"/>
        <v>166.92000000000002</v>
      </c>
      <c r="Q14" s="7">
        <v>14.51</v>
      </c>
      <c r="R14" s="7">
        <v>-81.17</v>
      </c>
      <c r="S14" s="6">
        <f t="shared" si="1"/>
        <v>85.750000000000014</v>
      </c>
      <c r="T14" s="15">
        <f t="shared" si="2"/>
        <v>684.58</v>
      </c>
      <c r="U14" s="6">
        <f t="shared" si="3"/>
        <v>765.75</v>
      </c>
      <c r="V14" s="11"/>
      <c r="W14" s="6">
        <f t="shared" si="5"/>
        <v>0.36808247422680412</v>
      </c>
      <c r="X14" s="6">
        <f t="shared" si="9"/>
        <v>0.37160646431351002</v>
      </c>
      <c r="Y14" s="6">
        <f t="shared" si="6"/>
        <v>-0.76974515463916915</v>
      </c>
      <c r="Z14" s="6">
        <f t="shared" si="7"/>
        <v>1.4792911392405064</v>
      </c>
    </row>
    <row r="15" spans="1:26" x14ac:dyDescent="0.25">
      <c r="A15" s="1">
        <v>2024</v>
      </c>
      <c r="B15" s="3" t="s">
        <v>22</v>
      </c>
      <c r="C15" s="4">
        <v>239</v>
      </c>
      <c r="D15" s="1">
        <v>446</v>
      </c>
      <c r="E15" s="1">
        <v>40</v>
      </c>
      <c r="F15" s="1">
        <v>419</v>
      </c>
      <c r="G15" s="1">
        <v>-13</v>
      </c>
      <c r="H15" s="4">
        <v>-103.03</v>
      </c>
      <c r="I15" s="4">
        <f t="shared" si="4"/>
        <v>406</v>
      </c>
      <c r="J15" s="4">
        <f t="shared" si="8"/>
        <v>302.97000000000003</v>
      </c>
      <c r="K15" s="4">
        <v>289.98</v>
      </c>
      <c r="L15" s="7">
        <v>353.55</v>
      </c>
      <c r="M15" s="7">
        <v>154.04</v>
      </c>
      <c r="N15" s="7">
        <v>-4.91</v>
      </c>
      <c r="O15" s="7">
        <v>0</v>
      </c>
      <c r="P15" s="5">
        <f t="shared" si="0"/>
        <v>149.13</v>
      </c>
      <c r="Q15" s="7">
        <v>13.57</v>
      </c>
      <c r="R15" s="7">
        <v>-35.090000000000003</v>
      </c>
      <c r="S15" s="6">
        <f t="shared" si="1"/>
        <v>114.03999999999999</v>
      </c>
      <c r="T15" s="15">
        <f t="shared" si="2"/>
        <v>481.16</v>
      </c>
      <c r="U15" s="6">
        <f t="shared" si="3"/>
        <v>516.25</v>
      </c>
      <c r="V15" s="11"/>
      <c r="W15" s="6">
        <f t="shared" si="5"/>
        <v>0.36763723150357991</v>
      </c>
      <c r="X15" s="6">
        <f t="shared" si="9"/>
        <v>0.34058041347180434</v>
      </c>
      <c r="Y15" s="6">
        <f t="shared" si="6"/>
        <v>2.7876639618138364</v>
      </c>
      <c r="Z15" s="6">
        <f t="shared" si="7"/>
        <v>1.4792887029288704</v>
      </c>
    </row>
    <row r="16" spans="1:26" x14ac:dyDescent="0.25">
      <c r="A16" s="1">
        <v>2024</v>
      </c>
      <c r="B16" s="3" t="s">
        <v>23</v>
      </c>
      <c r="C16" s="4">
        <v>199</v>
      </c>
      <c r="D16" s="1">
        <v>343</v>
      </c>
      <c r="E16" s="1">
        <v>115</v>
      </c>
      <c r="F16" s="1">
        <v>286</v>
      </c>
      <c r="G16" s="1">
        <v>-56</v>
      </c>
      <c r="H16" s="4">
        <v>-39</v>
      </c>
      <c r="I16" s="4">
        <f t="shared" si="4"/>
        <v>230</v>
      </c>
      <c r="J16" s="4">
        <f t="shared" si="8"/>
        <v>191</v>
      </c>
      <c r="K16" s="4">
        <v>282.14</v>
      </c>
      <c r="L16" s="7">
        <v>294.38</v>
      </c>
      <c r="M16" s="7">
        <v>105.72</v>
      </c>
      <c r="N16" s="7">
        <v>-20.96</v>
      </c>
      <c r="O16" s="7">
        <v>0</v>
      </c>
      <c r="P16" s="5">
        <f t="shared" si="0"/>
        <v>84.759999999999991</v>
      </c>
      <c r="Q16" s="7">
        <v>14.51</v>
      </c>
      <c r="R16" s="7">
        <v>-9.52</v>
      </c>
      <c r="S16" s="6">
        <f t="shared" si="1"/>
        <v>75.239999999999995</v>
      </c>
      <c r="T16" s="15">
        <f t="shared" si="2"/>
        <v>384.13</v>
      </c>
      <c r="U16" s="6">
        <f t="shared" si="3"/>
        <v>393.65000000000003</v>
      </c>
      <c r="V16" s="11"/>
      <c r="W16" s="6">
        <f t="shared" si="5"/>
        <v>0.36965034965034965</v>
      </c>
      <c r="X16" s="6">
        <f t="shared" si="9"/>
        <v>0.24410256410256409</v>
      </c>
      <c r="Y16" s="6">
        <f t="shared" si="6"/>
        <v>4.8963636363636365</v>
      </c>
      <c r="Z16" s="6">
        <f t="shared" si="7"/>
        <v>1.4792964824120602</v>
      </c>
    </row>
    <row r="17" spans="1:26" x14ac:dyDescent="0.25">
      <c r="A17" s="1">
        <v>2024</v>
      </c>
      <c r="B17" s="3" t="s">
        <v>24</v>
      </c>
      <c r="C17" s="4">
        <v>135</v>
      </c>
      <c r="D17" s="1">
        <v>367</v>
      </c>
      <c r="E17" s="1">
        <v>156</v>
      </c>
      <c r="F17" s="1">
        <v>289</v>
      </c>
      <c r="G17" s="1">
        <v>-76</v>
      </c>
      <c r="H17" s="4">
        <v>-80.459999999999994</v>
      </c>
      <c r="I17" s="4">
        <f t="shared" si="4"/>
        <v>213</v>
      </c>
      <c r="J17" s="4">
        <f t="shared" si="8"/>
        <v>132.54000000000002</v>
      </c>
      <c r="K17" s="4">
        <v>208.47</v>
      </c>
      <c r="L17" s="7">
        <v>199.7</v>
      </c>
      <c r="M17" s="7">
        <v>107.08</v>
      </c>
      <c r="N17" s="7">
        <v>-28.27</v>
      </c>
      <c r="O17" s="7">
        <v>0</v>
      </c>
      <c r="P17" s="5">
        <f t="shared" si="0"/>
        <v>78.81</v>
      </c>
      <c r="Q17" s="7">
        <v>14.04</v>
      </c>
      <c r="R17" s="7">
        <v>-26.08</v>
      </c>
      <c r="S17" s="6">
        <f t="shared" si="1"/>
        <v>52.730000000000004</v>
      </c>
      <c r="T17" s="15">
        <f t="shared" si="2"/>
        <v>266.47000000000003</v>
      </c>
      <c r="U17" s="6">
        <f t="shared" si="3"/>
        <v>292.55</v>
      </c>
      <c r="V17" s="11"/>
      <c r="W17" s="6">
        <f t="shared" si="5"/>
        <v>0.37051903114186852</v>
      </c>
      <c r="X17" s="6">
        <f t="shared" si="9"/>
        <v>0.32413621675366644</v>
      </c>
      <c r="Y17" s="6">
        <f t="shared" si="6"/>
        <v>3.7319612456747389</v>
      </c>
      <c r="Z17" s="6">
        <f t="shared" si="7"/>
        <v>1.4792592592592593</v>
      </c>
    </row>
    <row r="18" spans="1:26" x14ac:dyDescent="0.25">
      <c r="A18" s="1">
        <v>2024</v>
      </c>
      <c r="B18" s="3" t="s">
        <v>25</v>
      </c>
      <c r="C18" s="4">
        <v>39</v>
      </c>
      <c r="D18" s="1">
        <v>383</v>
      </c>
      <c r="E18" s="1">
        <v>171</v>
      </c>
      <c r="F18" s="1">
        <v>303</v>
      </c>
      <c r="G18" s="1">
        <v>-89</v>
      </c>
      <c r="H18" s="4">
        <v>-104.21</v>
      </c>
      <c r="I18" s="4">
        <f t="shared" si="4"/>
        <v>214</v>
      </c>
      <c r="J18" s="4">
        <f t="shared" si="8"/>
        <v>109.79</v>
      </c>
      <c r="K18" s="4">
        <v>52.37</v>
      </c>
      <c r="L18" s="7">
        <v>55.64</v>
      </c>
      <c r="M18" s="7">
        <v>100.44</v>
      </c>
      <c r="N18" s="7">
        <v>-30.15</v>
      </c>
      <c r="O18" s="7">
        <v>0</v>
      </c>
      <c r="P18" s="5">
        <f t="shared" si="0"/>
        <v>70.289999999999992</v>
      </c>
      <c r="Q18" s="7">
        <v>17.36</v>
      </c>
      <c r="R18" s="7">
        <v>-35.56</v>
      </c>
      <c r="S18" s="6">
        <f t="shared" si="1"/>
        <v>34.72999999999999</v>
      </c>
      <c r="T18" s="15">
        <f t="shared" si="2"/>
        <v>107.72999999999999</v>
      </c>
      <c r="U18" s="6">
        <f t="shared" si="3"/>
        <v>143.28999999999996</v>
      </c>
      <c r="V18" s="11" t="s">
        <v>37</v>
      </c>
      <c r="W18" s="6">
        <f t="shared" si="5"/>
        <v>0.3314851485148515</v>
      </c>
      <c r="X18" s="6">
        <f t="shared" si="9"/>
        <v>0.34123404663659923</v>
      </c>
      <c r="Y18" s="6">
        <f t="shared" si="6"/>
        <v>-1.0159326732673308</v>
      </c>
      <c r="Z18" s="6">
        <f t="shared" si="7"/>
        <v>1.4266666666666667</v>
      </c>
    </row>
    <row r="19" spans="1:26" x14ac:dyDescent="0.25">
      <c r="A19" s="1">
        <v>2024</v>
      </c>
      <c r="B19" s="3" t="s">
        <v>26</v>
      </c>
      <c r="C19" s="4">
        <v>37</v>
      </c>
      <c r="D19" s="1">
        <v>445</v>
      </c>
      <c r="E19" s="1">
        <v>166</v>
      </c>
      <c r="F19" s="1">
        <v>361</v>
      </c>
      <c r="G19" s="1">
        <v>-81</v>
      </c>
      <c r="H19" s="4">
        <v>-187.32</v>
      </c>
      <c r="I19" s="4">
        <f t="shared" si="4"/>
        <v>280</v>
      </c>
      <c r="J19" s="4">
        <f t="shared" si="8"/>
        <v>92.68</v>
      </c>
      <c r="K19" s="4">
        <v>62.04</v>
      </c>
      <c r="L19" s="7">
        <v>49.99</v>
      </c>
      <c r="M19" s="7">
        <v>106.92</v>
      </c>
      <c r="N19" s="7">
        <v>-23.5</v>
      </c>
      <c r="O19" s="7">
        <v>0</v>
      </c>
      <c r="P19" s="5">
        <f t="shared" si="0"/>
        <v>83.42</v>
      </c>
      <c r="Q19" s="7">
        <v>19.739999999999998</v>
      </c>
      <c r="R19" s="7">
        <v>-68.75</v>
      </c>
      <c r="S19" s="6">
        <f t="shared" si="1"/>
        <v>14.670000000000002</v>
      </c>
      <c r="T19" s="15">
        <f t="shared" si="2"/>
        <v>84.399999999999991</v>
      </c>
      <c r="U19" s="6">
        <f t="shared" si="3"/>
        <v>153.15</v>
      </c>
      <c r="V19" s="11"/>
      <c r="W19" s="6">
        <f t="shared" si="5"/>
        <v>0.29617728531855958</v>
      </c>
      <c r="X19" s="6">
        <f t="shared" si="9"/>
        <v>0.36701900491138162</v>
      </c>
      <c r="Y19" s="6">
        <f t="shared" si="6"/>
        <v>-13.270070914127423</v>
      </c>
      <c r="Z19" s="6">
        <f t="shared" si="7"/>
        <v>1.3510810810810812</v>
      </c>
    </row>
    <row r="20" spans="1:26" x14ac:dyDescent="0.25">
      <c r="A20" s="1">
        <v>2024</v>
      </c>
      <c r="B20" s="3" t="s">
        <v>27</v>
      </c>
      <c r="C20" s="4">
        <v>22</v>
      </c>
      <c r="D20" s="1">
        <v>232</v>
      </c>
      <c r="E20" s="1">
        <v>175</v>
      </c>
      <c r="F20" s="1">
        <v>164</v>
      </c>
      <c r="G20" s="1">
        <v>-107</v>
      </c>
      <c r="H20" s="4">
        <v>-40.159999999999997</v>
      </c>
      <c r="I20" s="4">
        <f t="shared" si="4"/>
        <v>57</v>
      </c>
      <c r="J20" s="4">
        <f t="shared" si="8"/>
        <v>16.840000000000003</v>
      </c>
      <c r="K20" s="4">
        <v>8.86</v>
      </c>
      <c r="L20" s="7">
        <v>27.47</v>
      </c>
      <c r="M20" s="7">
        <v>43.49</v>
      </c>
      <c r="N20" s="7">
        <v>-27.95</v>
      </c>
      <c r="O20" s="7">
        <v>0</v>
      </c>
      <c r="P20" s="5">
        <f t="shared" si="0"/>
        <v>15.540000000000003</v>
      </c>
      <c r="Q20" s="7">
        <v>20.399999999999999</v>
      </c>
      <c r="R20" s="7">
        <v>-9.98</v>
      </c>
      <c r="S20" s="6">
        <f t="shared" si="1"/>
        <v>5.5600000000000023</v>
      </c>
      <c r="T20" s="15">
        <f t="shared" si="2"/>
        <v>53.43</v>
      </c>
      <c r="U20" s="6">
        <f t="shared" si="3"/>
        <v>63.410000000000004</v>
      </c>
      <c r="V20" s="11" t="s">
        <v>19</v>
      </c>
      <c r="W20" s="6">
        <f t="shared" si="5"/>
        <v>0.26518292682926831</v>
      </c>
      <c r="X20" s="6">
        <f t="shared" si="9"/>
        <v>0.24850597609561756</v>
      </c>
      <c r="Y20" s="6">
        <f t="shared" si="6"/>
        <v>0.66974634146341394</v>
      </c>
      <c r="Z20" s="6">
        <f t="shared" si="7"/>
        <v>1.2486363636363635</v>
      </c>
    </row>
    <row r="21" spans="1:26" x14ac:dyDescent="0.25">
      <c r="A21" s="1">
        <v>2024</v>
      </c>
      <c r="B21" s="3" t="s">
        <v>28</v>
      </c>
      <c r="C21" s="4">
        <v>26</v>
      </c>
      <c r="D21" s="1">
        <v>378</v>
      </c>
      <c r="E21" s="1">
        <v>184</v>
      </c>
      <c r="F21" s="1">
        <v>293</v>
      </c>
      <c r="G21" s="1">
        <v>-100</v>
      </c>
      <c r="H21" s="4">
        <v>-126.62</v>
      </c>
      <c r="I21" s="4">
        <f t="shared" si="4"/>
        <v>193</v>
      </c>
      <c r="J21" s="4">
        <f t="shared" si="8"/>
        <v>66.38</v>
      </c>
      <c r="K21" s="4">
        <v>0</v>
      </c>
      <c r="L21" s="7">
        <v>32.47</v>
      </c>
      <c r="M21" s="7">
        <v>66.260000000000005</v>
      </c>
      <c r="N21" s="7">
        <v>-22.43</v>
      </c>
      <c r="O21" s="7">
        <v>11.62</v>
      </c>
      <c r="P21" s="5">
        <f t="shared" si="0"/>
        <v>55.45</v>
      </c>
      <c r="Q21" s="7">
        <v>19.440000000000001</v>
      </c>
      <c r="R21" s="7">
        <v>-44.52</v>
      </c>
      <c r="S21" s="6">
        <f t="shared" si="1"/>
        <v>10.93</v>
      </c>
      <c r="T21" s="15">
        <f t="shared" si="2"/>
        <v>62.84</v>
      </c>
      <c r="U21" s="6">
        <f t="shared" si="3"/>
        <v>107.36000000000001</v>
      </c>
      <c r="V21" s="11" t="s">
        <v>18</v>
      </c>
      <c r="W21" s="6">
        <f t="shared" si="5"/>
        <v>0.22614334470989764</v>
      </c>
      <c r="X21" s="6">
        <f t="shared" si="9"/>
        <v>0.35160322223977258</v>
      </c>
      <c r="Y21" s="6">
        <f t="shared" si="6"/>
        <v>-15.885729692832767</v>
      </c>
      <c r="Z21" s="6">
        <f t="shared" si="7"/>
        <v>1.2488461538461537</v>
      </c>
    </row>
    <row r="22" spans="1:26" x14ac:dyDescent="0.25">
      <c r="A22" s="1">
        <v>2024</v>
      </c>
      <c r="B22" s="3" t="s">
        <v>29</v>
      </c>
      <c r="C22" s="4">
        <v>54</v>
      </c>
      <c r="D22" s="1">
        <v>283</v>
      </c>
      <c r="E22" s="1">
        <v>122</v>
      </c>
      <c r="F22" s="1">
        <v>238</v>
      </c>
      <c r="G22" s="1">
        <v>-156</v>
      </c>
      <c r="H22" s="4">
        <v>-72.48</v>
      </c>
      <c r="I22" s="4">
        <f t="shared" si="4"/>
        <v>82</v>
      </c>
      <c r="J22" s="4">
        <f t="shared" si="8"/>
        <v>9.519999999999996</v>
      </c>
      <c r="K22" s="4">
        <v>64.290000000000006</v>
      </c>
      <c r="L22" s="7">
        <v>67.430000000000007</v>
      </c>
      <c r="M22" s="7">
        <v>54.36</v>
      </c>
      <c r="N22" s="7">
        <v>-18.47</v>
      </c>
      <c r="O22" s="7">
        <v>0</v>
      </c>
      <c r="P22" s="5">
        <f t="shared" si="0"/>
        <v>35.89</v>
      </c>
      <c r="Q22" s="7">
        <v>18.82</v>
      </c>
      <c r="R22" s="7">
        <v>-22.89</v>
      </c>
      <c r="S22" s="6">
        <f t="shared" si="1"/>
        <v>13</v>
      </c>
      <c r="T22" s="15">
        <f t="shared" si="2"/>
        <v>99.25</v>
      </c>
      <c r="U22" s="6">
        <f t="shared" si="3"/>
        <v>122.14000000000001</v>
      </c>
      <c r="V22" s="11"/>
      <c r="W22" s="6">
        <f t="shared" si="5"/>
        <v>0.22840336134453781</v>
      </c>
      <c r="X22" s="6">
        <f t="shared" si="9"/>
        <v>0.31581125827814571</v>
      </c>
      <c r="Y22" s="6">
        <f t="shared" si="6"/>
        <v>-6.3353243697479007</v>
      </c>
      <c r="Z22" s="6">
        <f t="shared" si="7"/>
        <v>1.2487037037037039</v>
      </c>
    </row>
    <row r="23" spans="1:26" x14ac:dyDescent="0.25">
      <c r="A23" s="1">
        <v>2024</v>
      </c>
      <c r="B23" s="3" t="s">
        <v>30</v>
      </c>
      <c r="C23" s="4">
        <v>131</v>
      </c>
      <c r="D23" s="1">
        <v>434</v>
      </c>
      <c r="E23" s="1">
        <v>26</v>
      </c>
      <c r="F23" s="1">
        <v>432</v>
      </c>
      <c r="G23" s="1">
        <v>-53</v>
      </c>
      <c r="H23" s="4">
        <v>-214.41</v>
      </c>
      <c r="I23" s="4">
        <f t="shared" si="4"/>
        <v>379</v>
      </c>
      <c r="J23" s="4">
        <f t="shared" si="8"/>
        <v>164.59</v>
      </c>
      <c r="K23" s="4">
        <v>165.87</v>
      </c>
      <c r="L23" s="7">
        <v>173.84</v>
      </c>
      <c r="M23" s="7">
        <v>123.61</v>
      </c>
      <c r="N23" s="7">
        <v>-15.02</v>
      </c>
      <c r="O23" s="7">
        <v>6.16</v>
      </c>
      <c r="P23" s="5">
        <f t="shared" si="0"/>
        <v>114.75</v>
      </c>
      <c r="Q23" s="7">
        <v>19.440000000000001</v>
      </c>
      <c r="R23">
        <v>-79.569999999999993</v>
      </c>
      <c r="S23" s="6">
        <f t="shared" si="1"/>
        <v>35.180000000000007</v>
      </c>
      <c r="T23" s="15">
        <f t="shared" si="2"/>
        <v>228.46</v>
      </c>
      <c r="U23" s="6">
        <f t="shared" si="3"/>
        <v>308.03000000000003</v>
      </c>
      <c r="V23" s="11"/>
      <c r="W23" s="6">
        <f t="shared" si="5"/>
        <v>0.28613425925925928</v>
      </c>
      <c r="X23" s="6">
        <f t="shared" si="9"/>
        <v>0.37111142204188236</v>
      </c>
      <c r="Y23" s="6">
        <f t="shared" si="6"/>
        <v>-18.219953472222212</v>
      </c>
      <c r="Z23" s="6">
        <f t="shared" si="7"/>
        <v>1.3270229007633587</v>
      </c>
    </row>
    <row r="24" spans="1:26" x14ac:dyDescent="0.25">
      <c r="A24" s="1">
        <v>2024</v>
      </c>
      <c r="B24" s="3" t="s">
        <v>31</v>
      </c>
      <c r="C24" s="4">
        <v>280</v>
      </c>
      <c r="D24" s="1">
        <v>710</v>
      </c>
      <c r="E24" s="1">
        <v>60</v>
      </c>
      <c r="F24" s="1">
        <v>715</v>
      </c>
      <c r="G24" s="1">
        <v>-27</v>
      </c>
      <c r="H24" s="4">
        <v>-427.58</v>
      </c>
      <c r="I24" s="4">
        <f t="shared" si="4"/>
        <v>688</v>
      </c>
      <c r="J24" s="4">
        <f t="shared" si="8"/>
        <v>260.42</v>
      </c>
      <c r="K24" s="4">
        <v>323.44</v>
      </c>
      <c r="L24" s="7">
        <v>371.58</v>
      </c>
      <c r="M24" s="7">
        <v>205.24</v>
      </c>
      <c r="N24" s="7">
        <v>-7.66</v>
      </c>
      <c r="O24" s="7">
        <v>3.14</v>
      </c>
      <c r="P24" s="5">
        <f t="shared" si="0"/>
        <v>200.72</v>
      </c>
      <c r="Q24" s="7">
        <v>18.82</v>
      </c>
      <c r="R24" s="7">
        <v>-164.68</v>
      </c>
      <c r="S24" s="6">
        <f t="shared" si="1"/>
        <v>36.039999999999992</v>
      </c>
      <c r="T24" s="15">
        <f t="shared" si="2"/>
        <v>426.44</v>
      </c>
      <c r="U24" s="6">
        <f t="shared" si="3"/>
        <v>591.12</v>
      </c>
      <c r="V24" s="11"/>
      <c r="W24" s="6">
        <f t="shared" si="5"/>
        <v>0.28704895104895106</v>
      </c>
      <c r="X24" s="6">
        <f t="shared" si="9"/>
        <v>0.38514430048178122</v>
      </c>
      <c r="Y24" s="6">
        <f t="shared" si="6"/>
        <v>-41.943609510489516</v>
      </c>
      <c r="Z24" s="6">
        <f t="shared" si="7"/>
        <v>1.3270714285714285</v>
      </c>
    </row>
    <row r="25" spans="1:26" x14ac:dyDescent="0.25">
      <c r="A25" s="1">
        <v>2024</v>
      </c>
      <c r="B25" s="3" t="s">
        <v>32</v>
      </c>
      <c r="C25" s="4">
        <v>342</v>
      </c>
      <c r="D25" s="1">
        <v>487</v>
      </c>
      <c r="E25" s="1">
        <v>17</v>
      </c>
      <c r="F25" s="1">
        <v>478</v>
      </c>
      <c r="G25" s="1">
        <v>-5</v>
      </c>
      <c r="H25" s="4">
        <v>-163.56</v>
      </c>
      <c r="I25" s="4">
        <f t="shared" si="4"/>
        <v>473</v>
      </c>
      <c r="J25" s="4">
        <f t="shared" si="8"/>
        <v>309.44</v>
      </c>
      <c r="K25" s="4">
        <v>375.06</v>
      </c>
      <c r="L25" s="7">
        <v>453.85</v>
      </c>
      <c r="M25" s="7">
        <v>136.59</v>
      </c>
      <c r="N25" s="7">
        <v>-1.43</v>
      </c>
      <c r="O25" s="7">
        <v>0.57999999999999996</v>
      </c>
      <c r="P25" s="5">
        <f t="shared" si="0"/>
        <v>135.74</v>
      </c>
      <c r="Q25" s="7">
        <v>19.440000000000001</v>
      </c>
      <c r="R25" s="7">
        <v>-59.25</v>
      </c>
      <c r="S25" s="6">
        <f t="shared" si="1"/>
        <v>76.490000000000009</v>
      </c>
      <c r="T25" s="15">
        <f t="shared" si="2"/>
        <v>549.78000000000009</v>
      </c>
      <c r="U25" s="6">
        <f t="shared" si="3"/>
        <v>609.0300000000002</v>
      </c>
      <c r="V25" s="11"/>
      <c r="W25" s="6">
        <f t="shared" si="5"/>
        <v>0.28575313807531383</v>
      </c>
      <c r="X25" s="6">
        <f t="shared" si="9"/>
        <v>0.36225238444607483</v>
      </c>
      <c r="Y25" s="6">
        <f t="shared" si="6"/>
        <v>-12.512216736401669</v>
      </c>
      <c r="Z25" s="6">
        <f t="shared" si="7"/>
        <v>1.3270467836257311</v>
      </c>
    </row>
    <row r="26" spans="1:26" x14ac:dyDescent="0.25">
      <c r="A26" s="1">
        <v>2025</v>
      </c>
      <c r="B26" s="3" t="s">
        <v>21</v>
      </c>
      <c r="C26" s="4">
        <v>240</v>
      </c>
      <c r="D26" s="1">
        <v>437</v>
      </c>
      <c r="E26" s="1">
        <v>46</v>
      </c>
      <c r="F26" s="1">
        <v>412</v>
      </c>
      <c r="G26" s="1">
        <v>-18</v>
      </c>
      <c r="H26" s="4">
        <v>-150.34</v>
      </c>
      <c r="I26" s="4">
        <f t="shared" si="4"/>
        <v>394</v>
      </c>
      <c r="J26" s="4">
        <f t="shared" si="8"/>
        <v>243.66</v>
      </c>
      <c r="K26" s="4"/>
      <c r="L26" s="7">
        <v>324.13</v>
      </c>
      <c r="M26" s="7">
        <v>114.6</v>
      </c>
      <c r="N26" s="7">
        <v>-4.91</v>
      </c>
      <c r="O26" s="7">
        <v>2.09</v>
      </c>
      <c r="P26" s="5">
        <f t="shared" si="0"/>
        <v>111.78</v>
      </c>
      <c r="Q26" s="7">
        <v>26.17</v>
      </c>
      <c r="R26" s="7">
        <v>-53.98</v>
      </c>
      <c r="S26" s="6">
        <f t="shared" si="1"/>
        <v>57.800000000000004</v>
      </c>
      <c r="T26" s="15">
        <f t="shared" si="2"/>
        <v>408.1</v>
      </c>
      <c r="U26" s="6">
        <f t="shared" si="3"/>
        <v>462.08</v>
      </c>
      <c r="V26" s="11" t="s">
        <v>17</v>
      </c>
      <c r="W26" s="6">
        <f t="shared" si="5"/>
        <v>0.27815533980582524</v>
      </c>
      <c r="X26" s="6">
        <f t="shared" si="9"/>
        <v>0.35905281362245572</v>
      </c>
      <c r="Y26" s="6">
        <f t="shared" si="6"/>
        <v>-12.162126213592227</v>
      </c>
      <c r="Z26" s="6">
        <f t="shared" si="7"/>
        <v>1.3505416666666668</v>
      </c>
    </row>
    <row r="27" spans="1:26" x14ac:dyDescent="0.25">
      <c r="A27" s="1">
        <v>2025</v>
      </c>
      <c r="B27" s="3" t="s">
        <v>22</v>
      </c>
      <c r="C27" s="4">
        <v>109</v>
      </c>
      <c r="D27" s="1">
        <v>197</v>
      </c>
      <c r="E27" s="1">
        <v>89</v>
      </c>
      <c r="F27" s="1">
        <v>154</v>
      </c>
      <c r="G27" s="1">
        <v>-45</v>
      </c>
      <c r="H27" s="4">
        <v>0</v>
      </c>
      <c r="I27" s="4">
        <f t="shared" si="4"/>
        <v>109</v>
      </c>
      <c r="J27" s="4">
        <f t="shared" si="8"/>
        <v>109</v>
      </c>
      <c r="K27" s="4"/>
      <c r="L27" s="7">
        <v>147.21</v>
      </c>
      <c r="M27" s="7">
        <v>42.88</v>
      </c>
      <c r="N27" s="7">
        <v>-12.37</v>
      </c>
      <c r="O27" s="7">
        <v>5.23</v>
      </c>
      <c r="P27" s="5">
        <f t="shared" si="0"/>
        <v>35.740000000000009</v>
      </c>
      <c r="Q27" s="7">
        <v>23.63</v>
      </c>
      <c r="R27" s="7">
        <v>6.05</v>
      </c>
      <c r="S27" s="6">
        <f t="shared" si="1"/>
        <v>41.790000000000006</v>
      </c>
      <c r="T27" s="15">
        <f t="shared" si="2"/>
        <v>212.63</v>
      </c>
      <c r="U27" s="6">
        <f t="shared" si="3"/>
        <v>206.57999999999998</v>
      </c>
      <c r="V27" s="11" t="s">
        <v>16</v>
      </c>
      <c r="W27" s="6">
        <f t="shared" si="5"/>
        <v>0.27844155844155843</v>
      </c>
      <c r="X27" s="6">
        <v>0</v>
      </c>
      <c r="Y27" s="6">
        <f t="shared" si="6"/>
        <v>0</v>
      </c>
      <c r="Z27" s="6">
        <f t="shared" si="7"/>
        <v>1.3505504587155963</v>
      </c>
    </row>
    <row r="28" spans="1:26" x14ac:dyDescent="0.25">
      <c r="A28" s="1">
        <v>2025</v>
      </c>
      <c r="B28" s="3" t="s">
        <v>23</v>
      </c>
      <c r="C28" s="4">
        <v>207</v>
      </c>
      <c r="D28" s="1">
        <v>568</v>
      </c>
      <c r="E28" s="1">
        <v>207</v>
      </c>
      <c r="F28" s="1">
        <v>488</v>
      </c>
      <c r="G28" s="1">
        <v>-123</v>
      </c>
      <c r="H28" s="4">
        <v>-287.64</v>
      </c>
      <c r="I28" s="4">
        <f t="shared" si="4"/>
        <v>365</v>
      </c>
      <c r="J28" s="4">
        <f t="shared" si="8"/>
        <v>77.360000000000014</v>
      </c>
      <c r="K28" s="4"/>
      <c r="L28" s="7">
        <v>279.56</v>
      </c>
      <c r="M28" s="7">
        <v>136.31</v>
      </c>
      <c r="N28" s="7">
        <v>-33.770000000000003</v>
      </c>
      <c r="O28" s="7">
        <v>14.29</v>
      </c>
      <c r="P28" s="5">
        <f t="shared" si="0"/>
        <v>116.82999999999998</v>
      </c>
      <c r="Q28" s="7">
        <v>26.17</v>
      </c>
      <c r="R28" s="7">
        <v>-108.8</v>
      </c>
      <c r="S28" s="6">
        <f t="shared" si="1"/>
        <v>8.0299999999999869</v>
      </c>
      <c r="T28" s="15">
        <f t="shared" si="2"/>
        <v>313.76</v>
      </c>
      <c r="U28" s="6">
        <f t="shared" si="3"/>
        <v>422.56000000000006</v>
      </c>
      <c r="V28" s="11"/>
      <c r="W28" s="6">
        <f t="shared" si="5"/>
        <v>0.27932377049180329</v>
      </c>
      <c r="X28" s="6">
        <f t="shared" ref="X28:X38" si="10">R28/H28</f>
        <v>0.37825059101654845</v>
      </c>
      <c r="Y28" s="6">
        <f t="shared" si="6"/>
        <v>-28.455310655737698</v>
      </c>
      <c r="Z28" s="6">
        <f t="shared" si="7"/>
        <v>1.3505314009661835</v>
      </c>
    </row>
    <row r="29" spans="1:26" x14ac:dyDescent="0.25">
      <c r="A29" s="1">
        <v>2025</v>
      </c>
      <c r="B29" s="3" t="s">
        <v>24</v>
      </c>
      <c r="C29" s="4">
        <v>109</v>
      </c>
      <c r="D29" s="1">
        <v>550</v>
      </c>
      <c r="E29" s="1">
        <v>215</v>
      </c>
      <c r="F29" s="1">
        <v>465</v>
      </c>
      <c r="G29" s="1">
        <v>-131</v>
      </c>
      <c r="H29" s="4">
        <v>-299.33999999999997</v>
      </c>
      <c r="I29" s="4">
        <f t="shared" si="4"/>
        <v>334</v>
      </c>
      <c r="J29" s="4">
        <f t="shared" si="8"/>
        <v>34.660000000000025</v>
      </c>
      <c r="K29" s="4"/>
      <c r="L29" s="7">
        <v>154.65</v>
      </c>
      <c r="M29" s="7">
        <v>118.06</v>
      </c>
      <c r="N29" s="7">
        <v>-32.770000000000003</v>
      </c>
      <c r="O29" s="7">
        <v>19.34</v>
      </c>
      <c r="P29" s="5">
        <f t="shared" si="0"/>
        <v>104.63</v>
      </c>
      <c r="Q29" s="7">
        <v>25.32</v>
      </c>
      <c r="R29" s="7">
        <v>-113.46</v>
      </c>
      <c r="S29" s="6">
        <f t="shared" si="1"/>
        <v>-8.8299999999999983</v>
      </c>
      <c r="T29" s="15">
        <f t="shared" si="2"/>
        <v>171.14</v>
      </c>
      <c r="U29" s="6">
        <f t="shared" si="3"/>
        <v>284.60000000000002</v>
      </c>
      <c r="V29" s="11"/>
      <c r="W29" s="6">
        <f t="shared" si="5"/>
        <v>0.25389247311827956</v>
      </c>
      <c r="X29" s="6">
        <f t="shared" si="10"/>
        <v>0.37903387452395271</v>
      </c>
      <c r="Y29" s="6">
        <f t="shared" si="6"/>
        <v>-37.459827096774198</v>
      </c>
      <c r="Z29" s="6">
        <f t="shared" si="7"/>
        <v>1.4188073394495413</v>
      </c>
    </row>
    <row r="30" spans="1:26" x14ac:dyDescent="0.25">
      <c r="A30" s="1">
        <v>2025</v>
      </c>
      <c r="B30" s="3" t="s">
        <v>25</v>
      </c>
      <c r="C30" s="4">
        <v>46</v>
      </c>
      <c r="D30" s="1">
        <v>517</v>
      </c>
      <c r="E30" s="1">
        <v>213</v>
      </c>
      <c r="F30" s="1">
        <v>433</v>
      </c>
      <c r="G30" s="1">
        <v>-128</v>
      </c>
      <c r="H30" s="4">
        <v>-282.38</v>
      </c>
      <c r="I30" s="4">
        <f t="shared" si="4"/>
        <v>305</v>
      </c>
      <c r="J30" s="4">
        <f t="shared" si="8"/>
        <v>22.620000000000005</v>
      </c>
      <c r="K30" s="4"/>
      <c r="L30" s="7">
        <v>65.27</v>
      </c>
      <c r="M30" s="7">
        <v>109.44</v>
      </c>
      <c r="N30" s="7">
        <v>-31.93</v>
      </c>
      <c r="O30" s="7">
        <v>18.899999999999999</v>
      </c>
      <c r="P30" s="5">
        <f t="shared" si="0"/>
        <v>96.41</v>
      </c>
      <c r="Q30" s="7">
        <v>26.17</v>
      </c>
      <c r="R30" s="7">
        <v>-106.69</v>
      </c>
      <c r="S30" s="6">
        <f t="shared" si="1"/>
        <v>-10.280000000000001</v>
      </c>
      <c r="T30" s="15">
        <f t="shared" si="2"/>
        <v>81.16</v>
      </c>
      <c r="U30" s="6">
        <f t="shared" si="3"/>
        <v>187.84999999999997</v>
      </c>
      <c r="V30" s="11"/>
      <c r="W30" s="6">
        <f t="shared" si="5"/>
        <v>0.25274826789838339</v>
      </c>
      <c r="X30" s="6">
        <f t="shared" si="10"/>
        <v>0.3778242085133508</v>
      </c>
      <c r="Y30" s="6">
        <f t="shared" si="6"/>
        <v>-35.318944110854495</v>
      </c>
      <c r="Z30" s="6">
        <f t="shared" si="7"/>
        <v>1.4189130434782609</v>
      </c>
    </row>
    <row r="31" spans="1:26" x14ac:dyDescent="0.25">
      <c r="A31" s="1">
        <v>2025</v>
      </c>
      <c r="B31" s="3" t="s">
        <v>26</v>
      </c>
      <c r="C31" s="4">
        <v>31</v>
      </c>
      <c r="D31" s="1">
        <v>501</v>
      </c>
      <c r="E31" s="1">
        <v>182</v>
      </c>
      <c r="F31" s="1">
        <v>420</v>
      </c>
      <c r="G31" s="1">
        <v>-97</v>
      </c>
      <c r="H31" s="4">
        <v>-309.85000000000002</v>
      </c>
      <c r="I31" s="4">
        <f t="shared" si="4"/>
        <v>323</v>
      </c>
      <c r="J31" s="4">
        <f t="shared" si="8"/>
        <v>13.149999999999977</v>
      </c>
      <c r="K31" s="4"/>
      <c r="L31" s="7">
        <v>43.98</v>
      </c>
      <c r="M31" s="7">
        <v>106.34</v>
      </c>
      <c r="N31" s="7">
        <v>-24.24</v>
      </c>
      <c r="O31" s="7">
        <v>14.32</v>
      </c>
      <c r="P31" s="5">
        <f t="shared" si="0"/>
        <v>96.420000000000016</v>
      </c>
      <c r="Q31" s="7">
        <v>25.32</v>
      </c>
      <c r="R31" s="7">
        <v>-117.66</v>
      </c>
      <c r="S31" s="6">
        <f t="shared" si="1"/>
        <v>-21.239999999999981</v>
      </c>
      <c r="T31" s="15">
        <f t="shared" si="2"/>
        <v>48.060000000000016</v>
      </c>
      <c r="U31" s="6">
        <f t="shared" si="3"/>
        <v>165.72</v>
      </c>
      <c r="V31" s="11"/>
      <c r="W31" s="6">
        <f t="shared" si="5"/>
        <v>0.25319047619047619</v>
      </c>
      <c r="X31" s="6">
        <f t="shared" si="10"/>
        <v>0.37973212844924958</v>
      </c>
      <c r="Y31" s="6">
        <f t="shared" si="6"/>
        <v>-39.208930952380939</v>
      </c>
      <c r="Z31" s="6">
        <f t="shared" si="7"/>
        <v>1.4187096774193548</v>
      </c>
    </row>
    <row r="32" spans="1:26" x14ac:dyDescent="0.25">
      <c r="A32" s="1">
        <v>2025</v>
      </c>
      <c r="B32" s="3" t="s">
        <v>27</v>
      </c>
      <c r="C32" s="4">
        <v>27</v>
      </c>
      <c r="D32" s="1">
        <v>484</v>
      </c>
      <c r="E32" s="1">
        <v>177</v>
      </c>
      <c r="F32" s="1">
        <v>385</v>
      </c>
      <c r="G32" s="1">
        <v>-77</v>
      </c>
      <c r="H32" s="4">
        <v>-154.06</v>
      </c>
      <c r="I32" s="4">
        <f t="shared" si="4"/>
        <v>308</v>
      </c>
      <c r="J32" s="4">
        <f t="shared" si="8"/>
        <v>153.94</v>
      </c>
      <c r="K32" s="4"/>
      <c r="L32" s="7">
        <v>37.79</v>
      </c>
      <c r="M32" s="7">
        <v>101.9</v>
      </c>
      <c r="N32" s="7">
        <v>-19.98</v>
      </c>
      <c r="O32" s="7">
        <v>11.93</v>
      </c>
      <c r="P32" s="5">
        <f t="shared" si="0"/>
        <v>93.85</v>
      </c>
      <c r="Q32" s="7">
        <v>26.67</v>
      </c>
      <c r="R32" s="7">
        <v>-55.47</v>
      </c>
      <c r="S32" s="6">
        <f t="shared" si="1"/>
        <v>38.379999999999995</v>
      </c>
      <c r="T32" s="15">
        <f t="shared" si="2"/>
        <v>102.83999999999999</v>
      </c>
      <c r="U32" s="6">
        <f t="shared" si="3"/>
        <v>158.31</v>
      </c>
      <c r="V32" s="11"/>
      <c r="W32" s="6">
        <f t="shared" si="5"/>
        <v>0.26467532467532467</v>
      </c>
      <c r="X32" s="6">
        <f t="shared" si="10"/>
        <v>0.36005452421134621</v>
      </c>
      <c r="Y32" s="6">
        <f t="shared" si="6"/>
        <v>-14.694119480519477</v>
      </c>
      <c r="Z32" s="6">
        <f t="shared" si="7"/>
        <v>1.3996296296296296</v>
      </c>
    </row>
    <row r="33" spans="1:26" x14ac:dyDescent="0.25">
      <c r="A33" s="1">
        <v>2025</v>
      </c>
      <c r="B33" s="3" t="s">
        <v>28</v>
      </c>
      <c r="C33" s="4">
        <v>6</v>
      </c>
      <c r="D33" s="1">
        <v>316</v>
      </c>
      <c r="E33" s="1">
        <v>176</v>
      </c>
      <c r="F33" s="1">
        <v>287</v>
      </c>
      <c r="G33" s="1">
        <v>-91</v>
      </c>
      <c r="H33" s="4">
        <v>-67.94</v>
      </c>
      <c r="I33" s="4">
        <f t="shared" si="4"/>
        <v>196</v>
      </c>
      <c r="J33" s="4">
        <f t="shared" si="8"/>
        <v>128.06</v>
      </c>
      <c r="K33" s="4"/>
      <c r="L33" s="7">
        <v>8.4</v>
      </c>
      <c r="M33" s="7">
        <v>75.95</v>
      </c>
      <c r="N33" s="7">
        <v>-23.81</v>
      </c>
      <c r="O33" s="7">
        <v>14.09</v>
      </c>
      <c r="P33" s="5">
        <f t="shared" si="0"/>
        <v>66.23</v>
      </c>
      <c r="Q33" s="7">
        <v>26.67</v>
      </c>
      <c r="R33" s="7">
        <v>-21.08</v>
      </c>
      <c r="S33" s="6">
        <f t="shared" si="1"/>
        <v>45.150000000000006</v>
      </c>
      <c r="T33" s="15">
        <f t="shared" si="2"/>
        <v>80.22</v>
      </c>
      <c r="U33" s="6">
        <f t="shared" si="3"/>
        <v>101.30000000000001</v>
      </c>
      <c r="V33" s="11" t="s">
        <v>15</v>
      </c>
      <c r="W33" s="6">
        <f t="shared" si="5"/>
        <v>0.26463414634146343</v>
      </c>
      <c r="X33" s="6">
        <f t="shared" si="10"/>
        <v>0.31027377097438913</v>
      </c>
      <c r="Y33" s="6">
        <f t="shared" si="6"/>
        <v>-3.1007560975609723</v>
      </c>
      <c r="Z33" s="6">
        <f t="shared" si="7"/>
        <v>1.4000000000000001</v>
      </c>
    </row>
    <row r="34" spans="1:26" x14ac:dyDescent="0.25">
      <c r="A34" s="1">
        <v>2025</v>
      </c>
      <c r="B34" s="3" t="s">
        <v>29</v>
      </c>
      <c r="C34" s="4">
        <v>3</v>
      </c>
      <c r="D34" s="1">
        <v>571</v>
      </c>
      <c r="E34" s="1">
        <v>147</v>
      </c>
      <c r="F34" s="1">
        <v>510</v>
      </c>
      <c r="G34" s="1">
        <v>-72</v>
      </c>
      <c r="H34" s="4">
        <v>-195.49</v>
      </c>
      <c r="I34" s="4">
        <f t="shared" si="4"/>
        <v>438</v>
      </c>
      <c r="J34" s="4">
        <f t="shared" si="8"/>
        <v>242.51</v>
      </c>
      <c r="K34" s="4"/>
      <c r="L34" s="7">
        <v>4.2</v>
      </c>
      <c r="M34" s="7">
        <v>134.75</v>
      </c>
      <c r="N34" s="7">
        <v>-18.78</v>
      </c>
      <c r="O34" s="7">
        <v>11.15</v>
      </c>
      <c r="P34" s="5">
        <f t="shared" si="0"/>
        <v>127.12</v>
      </c>
      <c r="Q34" s="7">
        <v>25.81</v>
      </c>
      <c r="R34" s="7">
        <v>-72.010000000000005</v>
      </c>
      <c r="S34" s="6">
        <f t="shared" si="1"/>
        <v>55.11</v>
      </c>
      <c r="T34" s="15">
        <f t="shared" si="2"/>
        <v>85.12</v>
      </c>
      <c r="U34" s="6">
        <f t="shared" si="3"/>
        <v>157.13</v>
      </c>
      <c r="V34" s="11" t="s">
        <v>14</v>
      </c>
      <c r="W34" s="6">
        <f t="shared" si="5"/>
        <v>0.26421568627450981</v>
      </c>
      <c r="X34" s="6">
        <f t="shared" si="10"/>
        <v>0.36835643766944604</v>
      </c>
      <c r="Y34" s="6">
        <f t="shared" si="6"/>
        <v>-20.358475490196085</v>
      </c>
      <c r="Z34" s="6">
        <f t="shared" si="7"/>
        <v>1.4000000000000001</v>
      </c>
    </row>
    <row r="35" spans="1:26" x14ac:dyDescent="0.25">
      <c r="A35" s="1">
        <v>2025</v>
      </c>
      <c r="B35" s="3" t="s">
        <v>30</v>
      </c>
      <c r="C35" s="4">
        <v>3</v>
      </c>
      <c r="D35" s="1">
        <v>963</v>
      </c>
      <c r="E35" s="1">
        <v>65</v>
      </c>
      <c r="F35" s="1">
        <v>918</v>
      </c>
      <c r="G35" s="1">
        <v>-18</v>
      </c>
      <c r="H35" s="4">
        <v>-428.78</v>
      </c>
      <c r="I35" s="4">
        <f t="shared" si="4"/>
        <v>900</v>
      </c>
      <c r="J35" s="4">
        <f t="shared" si="8"/>
        <v>471.22</v>
      </c>
      <c r="K35" s="4"/>
      <c r="L35" s="7">
        <v>3.91</v>
      </c>
      <c r="M35" s="7">
        <v>267.01</v>
      </c>
      <c r="N35" s="7">
        <v>-5.18</v>
      </c>
      <c r="O35" s="7">
        <v>2.79</v>
      </c>
      <c r="P35" s="5">
        <f t="shared" si="0"/>
        <v>264.62</v>
      </c>
      <c r="Q35" s="7">
        <v>26.67</v>
      </c>
      <c r="R35" s="7">
        <v>-165.19</v>
      </c>
      <c r="S35" s="6">
        <f t="shared" si="1"/>
        <v>99.43</v>
      </c>
      <c r="T35" s="15">
        <f t="shared" si="2"/>
        <v>130.01</v>
      </c>
      <c r="U35" s="6">
        <f t="shared" si="3"/>
        <v>295.20000000000005</v>
      </c>
      <c r="V35" s="11"/>
      <c r="W35" s="6">
        <f t="shared" si="5"/>
        <v>0.29086056644880176</v>
      </c>
      <c r="X35" s="6">
        <f t="shared" si="10"/>
        <v>0.38525584215681702</v>
      </c>
      <c r="Y35" s="6">
        <f t="shared" si="6"/>
        <v>-40.474806318082777</v>
      </c>
      <c r="Z35" s="6">
        <f t="shared" si="7"/>
        <v>1.3033333333333335</v>
      </c>
    </row>
    <row r="36" spans="1:26" x14ac:dyDescent="0.25">
      <c r="A36" s="1">
        <v>2025</v>
      </c>
      <c r="B36" s="3" t="s">
        <v>31</v>
      </c>
      <c r="C36" s="12">
        <v>4</v>
      </c>
      <c r="D36" s="13">
        <v>1063</v>
      </c>
      <c r="E36" s="13">
        <v>57</v>
      </c>
      <c r="F36" s="13">
        <v>1026</v>
      </c>
      <c r="G36" s="13">
        <v>-19</v>
      </c>
      <c r="H36" s="12">
        <v>-349</v>
      </c>
      <c r="I36" s="4">
        <f t="shared" si="4"/>
        <v>1007</v>
      </c>
      <c r="J36" s="12">
        <f t="shared" si="8"/>
        <v>658</v>
      </c>
      <c r="K36" s="4"/>
      <c r="L36" s="14">
        <v>5.21</v>
      </c>
      <c r="M36" s="14">
        <v>299.43</v>
      </c>
      <c r="N36" s="14">
        <v>-5.45</v>
      </c>
      <c r="O36" s="14">
        <v>2.94</v>
      </c>
      <c r="P36" s="5">
        <f t="shared" si="0"/>
        <v>296.92</v>
      </c>
      <c r="Q36" s="14">
        <v>25.81</v>
      </c>
      <c r="R36" s="14">
        <v>-133.29</v>
      </c>
      <c r="S36" s="6">
        <f t="shared" si="1"/>
        <v>163.63000000000002</v>
      </c>
      <c r="T36" s="15">
        <f t="shared" si="2"/>
        <v>194.65000000000003</v>
      </c>
      <c r="U36" s="6">
        <f t="shared" si="3"/>
        <v>327.94</v>
      </c>
      <c r="V36" s="11"/>
      <c r="W36" s="6">
        <f t="shared" si="5"/>
        <v>0.2918421052631579</v>
      </c>
      <c r="X36" s="6">
        <f t="shared" si="10"/>
        <v>0.38191977077363892</v>
      </c>
      <c r="Y36" s="6">
        <f t="shared" si="6"/>
        <v>-31.437105263157875</v>
      </c>
      <c r="Z36" s="6">
        <f t="shared" si="7"/>
        <v>1.3025</v>
      </c>
    </row>
    <row r="37" spans="1:26" x14ac:dyDescent="0.25">
      <c r="A37" s="1">
        <v>2025</v>
      </c>
      <c r="B37" s="3" t="s">
        <v>32</v>
      </c>
      <c r="C37" s="4">
        <v>2</v>
      </c>
      <c r="D37" s="1">
        <v>1351</v>
      </c>
      <c r="E37" s="1">
        <v>41</v>
      </c>
      <c r="F37" s="1">
        <v>1313</v>
      </c>
      <c r="G37" s="1">
        <v>-3</v>
      </c>
      <c r="H37" s="1">
        <v>-453.58</v>
      </c>
      <c r="I37" s="4">
        <f t="shared" si="4"/>
        <v>1310</v>
      </c>
      <c r="J37" s="12">
        <f t="shared" si="8"/>
        <v>856.42000000000007</v>
      </c>
      <c r="K37" s="4"/>
      <c r="L37" s="7">
        <v>2.61</v>
      </c>
      <c r="M37" s="7">
        <v>382.83</v>
      </c>
      <c r="N37" s="7">
        <v>-0.86</v>
      </c>
      <c r="O37" s="7">
        <v>0.46</v>
      </c>
      <c r="P37" s="5">
        <f t="shared" si="0"/>
        <v>382.42999999999995</v>
      </c>
      <c r="Q37" s="7">
        <v>26.67</v>
      </c>
      <c r="R37" s="7">
        <v>-175.06</v>
      </c>
      <c r="S37" s="6">
        <f t="shared" si="1"/>
        <v>207.36999999999995</v>
      </c>
      <c r="T37" s="15">
        <f t="shared" si="2"/>
        <v>236.64999999999998</v>
      </c>
      <c r="U37" s="6">
        <f t="shared" si="3"/>
        <v>411.71</v>
      </c>
      <c r="V37" s="11"/>
      <c r="W37" s="6">
        <f t="shared" si="5"/>
        <v>0.29156892612338153</v>
      </c>
      <c r="X37" s="6">
        <f t="shared" si="10"/>
        <v>0.38595176154151417</v>
      </c>
      <c r="Y37" s="6">
        <f t="shared" si="6"/>
        <v>-42.810166488956604</v>
      </c>
      <c r="Z37" s="6">
        <f t="shared" si="7"/>
        <v>1.3049999999999999</v>
      </c>
    </row>
    <row r="38" spans="1:26" x14ac:dyDescent="0.25">
      <c r="A38" s="1">
        <v>2026</v>
      </c>
      <c r="B38" s="3" t="s">
        <v>21</v>
      </c>
      <c r="C38" s="4">
        <v>3</v>
      </c>
      <c r="D38" s="1">
        <v>851</v>
      </c>
      <c r="E38" s="1">
        <v>44</v>
      </c>
      <c r="F38" s="1">
        <v>820</v>
      </c>
      <c r="G38" s="1">
        <v>-10</v>
      </c>
      <c r="H38" s="1">
        <v>-67.33</v>
      </c>
      <c r="I38" s="4">
        <f t="shared" si="4"/>
        <v>810</v>
      </c>
      <c r="J38" s="12">
        <f t="shared" si="8"/>
        <v>742.67</v>
      </c>
      <c r="K38" s="4"/>
      <c r="L38" s="7">
        <v>3.92</v>
      </c>
      <c r="M38" s="7">
        <v>224.9</v>
      </c>
      <c r="N38" s="7">
        <v>-2.73</v>
      </c>
      <c r="O38" s="7">
        <v>1.41</v>
      </c>
      <c r="P38" s="5">
        <f>M38+N38+O38</f>
        <v>223.58</v>
      </c>
      <c r="Q38" s="7">
        <v>28.98</v>
      </c>
      <c r="R38" s="7">
        <v>-20.84</v>
      </c>
      <c r="S38" s="6">
        <f t="shared" si="1"/>
        <v>202.74</v>
      </c>
      <c r="T38" s="15">
        <f>S38+L38+Q38</f>
        <v>235.64</v>
      </c>
      <c r="U38" s="6">
        <f>L38+M38+N38+O38+Q38</f>
        <v>256.48</v>
      </c>
      <c r="V38" s="11" t="s">
        <v>44</v>
      </c>
      <c r="W38" s="6">
        <f t="shared" si="5"/>
        <v>0.27426829268292685</v>
      </c>
      <c r="X38" s="6">
        <f t="shared" si="10"/>
        <v>0.30952027328085552</v>
      </c>
      <c r="Y38" s="6">
        <f t="shared" si="6"/>
        <v>-2.373515853658537</v>
      </c>
      <c r="Z38" s="6">
        <f t="shared" si="7"/>
        <v>1.3066666666666666</v>
      </c>
    </row>
    <row r="39" spans="1:26" x14ac:dyDescent="0.25">
      <c r="A39" s="9" t="s">
        <v>34</v>
      </c>
      <c r="B39" s="9"/>
      <c r="C39" s="8">
        <f t="shared" ref="C39:I39" si="11">SUM(C2:C38)</f>
        <v>3505</v>
      </c>
      <c r="D39" s="9">
        <f t="shared" si="11"/>
        <v>15636</v>
      </c>
      <c r="E39" s="9">
        <f t="shared" si="11"/>
        <v>3795</v>
      </c>
      <c r="F39" s="9">
        <f t="shared" si="11"/>
        <v>14114</v>
      </c>
      <c r="G39" s="9">
        <f t="shared" si="11"/>
        <v>-2180</v>
      </c>
      <c r="H39" s="9">
        <f t="shared" si="11"/>
        <v>-5396.08</v>
      </c>
      <c r="I39" s="9">
        <f t="shared" si="11"/>
        <v>11934</v>
      </c>
      <c r="J39" s="9">
        <f>SUM(J2:J37)</f>
        <v>5795.25</v>
      </c>
      <c r="K39" s="9">
        <f>SUM(K2:K37)</f>
        <v>4592.5999999999995</v>
      </c>
      <c r="L39" s="10">
        <f t="shared" ref="L39:S39" si="12">SUM(L2:L38)</f>
        <v>4860.1299999999983</v>
      </c>
      <c r="M39" s="10">
        <f t="shared" si="12"/>
        <v>4281.24</v>
      </c>
      <c r="N39" s="10">
        <f t="shared" si="12"/>
        <v>-647.43999999999994</v>
      </c>
      <c r="O39" s="10">
        <f t="shared" si="12"/>
        <v>140.44</v>
      </c>
      <c r="P39" s="10">
        <f t="shared" si="12"/>
        <v>3774.24</v>
      </c>
      <c r="Q39" s="10">
        <f t="shared" si="12"/>
        <v>623.34999999999991</v>
      </c>
      <c r="R39" s="10">
        <f t="shared" si="12"/>
        <v>-1979.19</v>
      </c>
      <c r="S39" s="10">
        <f t="shared" si="12"/>
        <v>1795.0499999999997</v>
      </c>
      <c r="T39" s="10">
        <f>SUM(T2:T38)</f>
        <v>7278.5300000000016</v>
      </c>
      <c r="U39" s="10">
        <f>SUM(U2:U38)</f>
        <v>9257.7200000000012</v>
      </c>
      <c r="W39" s="6"/>
      <c r="Y39" s="10">
        <f t="shared" ref="Y39" si="13">SUM(Y2:Y37)</f>
        <v>-385.70596998071915</v>
      </c>
    </row>
    <row r="40" spans="1:26" x14ac:dyDescent="0.25">
      <c r="T40" s="6"/>
    </row>
    <row r="41" spans="1:26" x14ac:dyDescent="0.25">
      <c r="P41" s="5"/>
    </row>
    <row r="42" spans="1:26" x14ac:dyDescent="0.25">
      <c r="Q42" s="5"/>
      <c r="T42" s="6"/>
    </row>
    <row r="43" spans="1:26" x14ac:dyDescent="0.25">
      <c r="C43" s="11"/>
      <c r="R43" s="6"/>
      <c r="U43" s="6"/>
    </row>
    <row r="44" spans="1:26" x14ac:dyDescent="0.25">
      <c r="C44" s="11"/>
      <c r="R44" s="6"/>
      <c r="T44" s="6"/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9e91b0-e21f-48fb-a071-456717ecc28e}" enabled="0" method="" siteId="{329e91b0-e21f-48fb-a071-456717ecc2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DOWLING</dc:creator>
  <cp:lastModifiedBy>David Dowling</cp:lastModifiedBy>
  <dcterms:created xsi:type="dcterms:W3CDTF">2025-11-21T14:38:33Z</dcterms:created>
  <dcterms:modified xsi:type="dcterms:W3CDTF">2026-03-10T21:19:00Z</dcterms:modified>
</cp:coreProperties>
</file>